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66925"/>
  <mc:AlternateContent xmlns:mc="http://schemas.openxmlformats.org/markup-compatibility/2006">
    <mc:Choice Requires="x15">
      <x15ac:absPath xmlns:x15ac="http://schemas.microsoft.com/office/spreadsheetml/2010/11/ac" url="D:\Github\Badminton ActionNet\Data_Archive\"/>
    </mc:Choice>
  </mc:AlternateContent>
  <xr:revisionPtr revIDLastSave="0" documentId="13_ncr:1_{523CBA88-966E-4B7B-9188-7182F7350BE4}" xr6:coauthVersionLast="47" xr6:coauthVersionMax="47" xr10:uidLastSave="{00000000-0000-0000-0000-000000000000}"/>
  <bookViews>
    <workbookView xWindow="-120" yWindow="480" windowWidth="29040" windowHeight="15840" xr2:uid="{00000000-000D-0000-FFFF-FFFF00000000}"/>
  </bookViews>
  <sheets>
    <sheet name="Survey Data" sheetId="2" r:id="rId1"/>
  </sheets>
  <definedNames>
    <definedName name="_xlnm._FilterDatabase" localSheetId="0" hidden="1">'Survey Data'!$C$1:$C$32</definedName>
  </definedNames>
  <calcPr calcId="191028"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0" i="2" l="1"/>
  <c r="S3" i="2"/>
  <c r="S4" i="2"/>
  <c r="S5" i="2"/>
  <c r="S6" i="2"/>
  <c r="S7" i="2"/>
  <c r="S8" i="2"/>
  <c r="S9" i="2"/>
  <c r="S10" i="2"/>
  <c r="S11" i="2"/>
  <c r="S12" i="2"/>
  <c r="S13" i="2"/>
  <c r="S14" i="2"/>
  <c r="S15" i="2"/>
  <c r="S16" i="2"/>
  <c r="S17" i="2"/>
  <c r="S18" i="2"/>
  <c r="S19" i="2"/>
  <c r="S20" i="2"/>
  <c r="S21" i="2"/>
  <c r="S22" i="2"/>
  <c r="S23" i="2"/>
  <c r="S24" i="2"/>
  <c r="S25" i="2"/>
  <c r="S26" i="2"/>
  <c r="S2" i="2"/>
</calcChain>
</file>

<file path=xl/sharedStrings.xml><?xml version="1.0" encoding="utf-8"?>
<sst xmlns="http://schemas.openxmlformats.org/spreadsheetml/2006/main" count="209" uniqueCount="110">
  <si>
    <t>Sub03</t>
  </si>
  <si>
    <t>Sub04</t>
  </si>
  <si>
    <t>Sub05</t>
  </si>
  <si>
    <t>Sub06</t>
  </si>
  <si>
    <t>Sub07</t>
  </si>
  <si>
    <t>Sub08</t>
  </si>
  <si>
    <t>Sub09</t>
  </si>
  <si>
    <t>Sub10</t>
  </si>
  <si>
    <t>Sub11</t>
  </si>
  <si>
    <t>Sub12</t>
  </si>
  <si>
    <t>Sub13</t>
  </si>
  <si>
    <t>Sub14</t>
  </si>
  <si>
    <t>Sub15</t>
  </si>
  <si>
    <t>Sub16</t>
  </si>
  <si>
    <t>Sub17</t>
  </si>
  <si>
    <t>Sub18</t>
  </si>
  <si>
    <t>Sub19</t>
  </si>
  <si>
    <t>Sub20</t>
  </si>
  <si>
    <t>Sub21</t>
  </si>
  <si>
    <t>Sub22</t>
  </si>
  <si>
    <t>Sub23</t>
  </si>
  <si>
    <t>Sub24</t>
  </si>
  <si>
    <t>Sub00</t>
    <phoneticPr fontId="1" type="noConversion"/>
  </si>
  <si>
    <t>Sub01</t>
    <phoneticPr fontId="1" type="noConversion"/>
  </si>
  <si>
    <t>Sub02</t>
    <phoneticPr fontId="1" type="noConversion"/>
  </si>
  <si>
    <t>Name</t>
    <phoneticPr fontId="1" type="noConversion"/>
  </si>
  <si>
    <t>Age</t>
    <phoneticPr fontId="1" type="noConversion"/>
  </si>
  <si>
    <t>Gender</t>
    <phoneticPr fontId="1" type="noConversion"/>
  </si>
  <si>
    <t>Dominant Hand</t>
    <phoneticPr fontId="1" type="noConversion"/>
  </si>
  <si>
    <t>Right</t>
    <phoneticPr fontId="1" type="noConversion"/>
  </si>
  <si>
    <t>Left</t>
    <phoneticPr fontId="1" type="noConversion"/>
  </si>
  <si>
    <t>Dominant Leg</t>
    <phoneticPr fontId="1" type="noConversion"/>
  </si>
  <si>
    <t>Professional Education Experience [year]</t>
    <phoneticPr fontId="1" type="noConversion"/>
  </si>
  <si>
    <t>Obstusiveness - Pupil Invisible Glasses</t>
    <phoneticPr fontId="1" type="noConversion"/>
  </si>
  <si>
    <t>Obstusiveness - Cognionics EMG</t>
    <phoneticPr fontId="1" type="noConversion"/>
  </si>
  <si>
    <t>Obstusiveness - gForcePro+</t>
    <phoneticPr fontId="1" type="noConversion"/>
  </si>
  <si>
    <t>Obstusiveness - Perception Neuron Studio</t>
    <phoneticPr fontId="1" type="noConversion"/>
  </si>
  <si>
    <t>Obstusiveness - Moticon Insole</t>
    <phoneticPr fontId="1" type="noConversion"/>
  </si>
  <si>
    <t>There were lines on the glasses, so it was inconvenient to touch the lines even a little and the glasses would move.</t>
    <phoneticPr fontId="1" type="noConversion"/>
  </si>
  <si>
    <t>Obstusiveness after wearing each wearable sensor and collecting badminton data</t>
    <phoneticPr fontId="1" type="noConversion"/>
  </si>
  <si>
    <t>There is no obstusiveness</t>
    <phoneticPr fontId="1" type="noConversion"/>
  </si>
  <si>
    <t>Arm EMG sensors feel to tight. Everything else seems fine.</t>
    <phoneticPr fontId="1" type="noConversion"/>
  </si>
  <si>
    <t>It was uncomfortable because the glasses kept shaking when swinging. The sensor attached to the hand holding the racket was inconvenient.</t>
    <phoneticPr fontId="1" type="noConversion"/>
  </si>
  <si>
    <t>The sensor worn on my hand overlapped a bit with the racket grip, which bothered me.</t>
    <phoneticPr fontId="1" type="noConversion"/>
  </si>
  <si>
    <t>It was inconvenient that the sensor often fell out while exercising. It was inconvenient because the foot size was not accurate.</t>
    <phoneticPr fontId="1" type="noConversion"/>
  </si>
  <si>
    <t>The electromyography sensor that wraps around the biceps of my right arm was too pressured and uncomfortable. It was uncomfortable because my glasses kept coming down or it was filled wit1h steam</t>
    <phoneticPr fontId="1" type="noConversion"/>
  </si>
  <si>
    <t>It is not easy to fix the gForcePro sensor on the right hand.</t>
    <phoneticPr fontId="1" type="noConversion"/>
  </si>
  <si>
    <t>The sensor attached to the hand holding the racket was annoying</t>
    <phoneticPr fontId="1" type="noConversion"/>
  </si>
  <si>
    <t>Blurred vision because the lens does not fit the vision</t>
    <phoneticPr fontId="1" type="noConversion"/>
  </si>
  <si>
    <t>It was a little painful to hold the handle with the sensor and the racquet!</t>
    <phoneticPr fontId="1" type="noConversion"/>
  </si>
  <si>
    <t>The body tracking sensor worn on the hand was uncomfortable and not sufficiently fixed.</t>
    <phoneticPr fontId="1" type="noConversion"/>
  </si>
  <si>
    <t>Inconvenient to swing because of the glasses connection cable</t>
    <phoneticPr fontId="1" type="noConversion"/>
  </si>
  <si>
    <t>It is difficult to transmit the grip force of the grip part of the racket because of the joint tracking sensor.</t>
    <phoneticPr fontId="1" type="noConversion"/>
  </si>
  <si>
    <t>The devices that measured the batting hand and arm were a little annoying. The shoes with insoles were a little uncomfortable because they were different from the shoes I usually wear.</t>
    <phoneticPr fontId="1" type="noConversion"/>
  </si>
  <si>
    <t>The sensor tightened my arm so strongly that it bothered me. shoes were too big</t>
    <phoneticPr fontId="1" type="noConversion"/>
  </si>
  <si>
    <t>Wearable sensor moves when sweating</t>
    <phoneticPr fontId="1" type="noConversion"/>
  </si>
  <si>
    <t>The right hand electromyography device causes skin irritation and is annoying</t>
    <phoneticPr fontId="1" type="noConversion"/>
  </si>
  <si>
    <t>EMG sensor -&gt; When swinging, it was difficult because the sensor pressed too strongly while maintaining posture and the part where the arm touched was pressured.</t>
    <phoneticPr fontId="1" type="noConversion"/>
  </si>
  <si>
    <t>It is a bit inconvenient because it takes more force to hold the racket, the gforce sensor flows down</t>
    <phoneticPr fontId="1" type="noConversion"/>
  </si>
  <si>
    <t>The sensor attached to the hand holding the racket moved a little, which was inconvenient.</t>
    <phoneticPr fontId="1" type="noConversion"/>
  </si>
  <si>
    <t>It was inconvenient because gForce and PNS sensor attachment was too tight.</t>
    <phoneticPr fontId="1" type="noConversion"/>
  </si>
  <si>
    <t>Shoes may be a bit painful for people with wide feet.</t>
    <phoneticPr fontId="1" type="noConversion"/>
  </si>
  <si>
    <t>All other parts are similar, but it was a little uncomfortable to perform because of the glasses.</t>
    <phoneticPr fontId="1" type="noConversion"/>
  </si>
  <si>
    <t>I think it was the same experience as doing it without it.</t>
    <phoneticPr fontId="1" type="noConversion"/>
  </si>
  <si>
    <t>It was almost the same, but I had to fix the racquet several times due to the sensor attached to my hand.</t>
    <phoneticPr fontId="1" type="noConversion"/>
  </si>
  <si>
    <t>almost similar</t>
    <phoneticPr fontId="1" type="noConversion"/>
  </si>
  <si>
    <t>There is no difference</t>
    <phoneticPr fontId="1" type="noConversion"/>
  </si>
  <si>
    <t>There was a difference from playing badminton with people because the badminton ball kept flying in the same place.</t>
    <phoneticPr fontId="1" type="noConversion"/>
  </si>
  <si>
    <t>Overall, it's uncomfortable, but it doesn't seem to have a big impact on performance.</t>
    <phoneticPr fontId="1" type="noConversion"/>
  </si>
  <si>
    <t>After measuring the sensor, the glasses and the EMG sensor decreased the performance the most. In particular, it would be better if the sensor attached to the part holding the racket is well fixed and small.</t>
    <phoneticPr fontId="1" type="noConversion"/>
  </si>
  <si>
    <t>The grip force was not transmitted to the racket well with the sensor attached to the hand, and the racket swing was slightly different from usual due to the lines connected to the sensor when turning the body or moving the feet.</t>
    <phoneticPr fontId="1" type="noConversion"/>
  </si>
  <si>
    <t>Overall experience was similar</t>
    <phoneticPr fontId="1" type="noConversion"/>
  </si>
  <si>
    <t>The EMG device is bulky and has rubber attached to the plastic material, but the forearm gets pinched between them and there is a sense of weight, so there was some discomfort.</t>
    <phoneticPr fontId="1" type="noConversion"/>
  </si>
  <si>
    <t>It is similar.</t>
    <phoneticPr fontId="1" type="noConversion"/>
  </si>
  <si>
    <t>No difference, no discomfort</t>
    <phoneticPr fontId="1" type="noConversion"/>
  </si>
  <si>
    <t>During the high-clear experiment, there was a slight delay in responding to the shuttle due to light (lighting) reflection.</t>
    <phoneticPr fontId="1" type="noConversion"/>
  </si>
  <si>
    <t>The biggest influence was the hand-wound sensor (PNS), but when holding the racket, it was a little different, so it was not easy for beginners like me to hold it correctly.</t>
    <phoneticPr fontId="1" type="noConversion"/>
  </si>
  <si>
    <t>Similarity: There was no difference except that the glasses flowed down a little, Difference: Being aware of the sensor</t>
    <phoneticPr fontId="1" type="noConversion"/>
  </si>
  <si>
    <t>Most were similar. However, in the case of the sensor attached to the palm, the palm and the grip did not come into close contact.</t>
    <phoneticPr fontId="1" type="noConversion"/>
  </si>
  <si>
    <t>The right hand joint band hit the right finger and was not similar</t>
    <phoneticPr fontId="1" type="noConversion"/>
  </si>
  <si>
    <t>It was difficult to get the correct posture due to the sensor, and the arm was weak due to too much pressure.</t>
    <phoneticPr fontId="1" type="noConversion"/>
  </si>
  <si>
    <t>It's bound to be annoying, but it didn't bother me much when I was playing.</t>
    <phoneticPr fontId="1" type="noConversion"/>
  </si>
  <si>
    <t>It's not the sneakers I used to use, so it feels a little different, and the feeling of holding the racket is a little different.</t>
    <phoneticPr fontId="1" type="noConversion"/>
  </si>
  <si>
    <t>There was a difference only by wearing gForce and PNS, and the experience was similar to when the sensor was not worn.</t>
    <phoneticPr fontId="1" type="noConversion"/>
  </si>
  <si>
    <t>It was similar</t>
    <phoneticPr fontId="1" type="noConversion"/>
  </si>
  <si>
    <t>Whether to consent to data disclosure</t>
    <phoneticPr fontId="1" type="noConversion"/>
  </si>
  <si>
    <t>Agree</t>
    <phoneticPr fontId="1" type="noConversion"/>
  </si>
  <si>
    <t>Female</t>
    <phoneticPr fontId="1" type="noConversion"/>
  </si>
  <si>
    <t>Male</t>
    <phoneticPr fontId="1" type="noConversion"/>
  </si>
  <si>
    <t>Weight (kg)</t>
    <phoneticPr fontId="1" type="noConversion"/>
  </si>
  <si>
    <t>Height [cm]</t>
    <phoneticPr fontId="1" type="noConversion"/>
  </si>
  <si>
    <t>Joint Legth (Foot Length) [cm]</t>
    <phoneticPr fontId="1" type="noConversion"/>
  </si>
  <si>
    <t>Joint Legth (Heel Height) [cm]</t>
    <phoneticPr fontId="1" type="noConversion"/>
  </si>
  <si>
    <t>Joint Legth (Lower Leg) [cm]</t>
    <phoneticPr fontId="1" type="noConversion"/>
  </si>
  <si>
    <t>Joint Legth (Upper Leg) [cm]</t>
    <phoneticPr fontId="1" type="noConversion"/>
  </si>
  <si>
    <t>Joint Legth (Hip Width) [cm]</t>
    <phoneticPr fontId="1" type="noConversion"/>
  </si>
  <si>
    <t>Joint Legth (Head) [cm]</t>
    <phoneticPr fontId="1" type="noConversion"/>
  </si>
  <si>
    <t>Joint Legth (Neck) [cm]</t>
    <phoneticPr fontId="1" type="noConversion"/>
  </si>
  <si>
    <t>Joint Legth (Shoulder Width) [cm]</t>
    <phoneticPr fontId="1" type="noConversion"/>
  </si>
  <si>
    <t>Joint Legth (Body) [cm]</t>
    <phoneticPr fontId="1" type="noConversion"/>
  </si>
  <si>
    <t>Joint Legth (Upper Arm) [cm]</t>
    <phoneticPr fontId="1" type="noConversion"/>
  </si>
  <si>
    <t>Joint Legth (Forearm) [cm]</t>
    <phoneticPr fontId="1" type="noConversion"/>
  </si>
  <si>
    <t>Joint Legth (Palm) [cm]</t>
    <phoneticPr fontId="1" type="noConversion"/>
  </si>
  <si>
    <t>Self-reported Expertise Level</t>
    <phoneticPr fontId="1" type="noConversion"/>
  </si>
  <si>
    <t>Performance Similarity - Pupil Invisible Glasses</t>
    <phoneticPr fontId="1" type="noConversion"/>
  </si>
  <si>
    <t>Performance Similarity - Cognionics EMG</t>
    <phoneticPr fontId="1" type="noConversion"/>
  </si>
  <si>
    <t>Performance Similarity - gForcePro+</t>
    <phoneticPr fontId="1" type="noConversion"/>
  </si>
  <si>
    <t>Performance Similarity - Perception Neuron Studio</t>
    <phoneticPr fontId="1" type="noConversion"/>
  </si>
  <si>
    <t>Performance Similarity - Moticon Insole</t>
    <phoneticPr fontId="1" type="noConversion"/>
  </si>
  <si>
    <t>Badminton performance after wearing Wearable Sensor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</si>
</sst>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sz val="8"/>
      <name val="맑은 고딕"/>
      <family val="3"/>
      <charset val="129"/>
      <scheme val="minor"/>
    </font>
    <font>
      <sz val="10"/>
      <color theme="1"/>
      <name val="Arial"/>
      <family val="2"/>
    </font>
    <font>
      <sz val="10"/>
      <color theme="1"/>
      <name val="Arial"/>
      <family val="2"/>
    </font>
    <font>
      <sz val="10"/>
      <color theme="1"/>
      <name val="Arial"/>
      <family val="3"/>
    </font>
    <font>
      <sz val="10"/>
      <color theme="1"/>
      <name val="Arial"/>
      <family val="2"/>
    </font>
    <font>
      <sz val="10"/>
      <color theme="1"/>
      <name val="맑은 고딕"/>
      <family val="3"/>
      <charset val="129"/>
      <scheme val="minor"/>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rgb="FFCCCCCC"/>
      </left>
      <right style="thin">
        <color rgb="FFCCCCCC"/>
      </right>
      <top/>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medium">
        <color indexed="64"/>
      </left>
      <right style="thin">
        <color rgb="FFCCCCCC"/>
      </right>
      <top style="medium">
        <color indexed="64"/>
      </top>
      <bottom style="medium">
        <color rgb="FF000000"/>
      </bottom>
      <diagonal/>
    </border>
    <border>
      <left style="thin">
        <color rgb="FFCCCCCC"/>
      </left>
      <right style="thin">
        <color rgb="FFCCCCCC"/>
      </right>
      <top style="medium">
        <color indexed="64"/>
      </top>
      <bottom style="medium">
        <color rgb="FF000000"/>
      </bottom>
      <diagonal/>
    </border>
    <border>
      <left style="thin">
        <color rgb="FFCCCCCC"/>
      </left>
      <right style="medium">
        <color indexed="64"/>
      </right>
      <top style="medium">
        <color indexed="64"/>
      </top>
      <bottom style="medium">
        <color rgb="FF00000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1">
    <xf numFmtId="0" fontId="0" fillId="0" borderId="0" xfId="0"/>
    <xf numFmtId="0" fontId="0" fillId="0" borderId="0" xfId="0" applyAlignment="1">
      <alignment horizontal="center" vertical="center"/>
    </xf>
    <xf numFmtId="0" fontId="2" fillId="0" borderId="1" xfId="0" applyFont="1" applyBorder="1" applyAlignment="1">
      <alignment horizontal="center" vertical="center" readingOrder="1"/>
    </xf>
    <xf numFmtId="0" fontId="2" fillId="0" borderId="2" xfId="0" applyFont="1" applyBorder="1" applyAlignment="1">
      <alignment readingOrder="1"/>
    </xf>
    <xf numFmtId="0" fontId="2" fillId="0" borderId="3" xfId="0" applyFont="1" applyBorder="1" applyAlignment="1">
      <alignment readingOrder="1"/>
    </xf>
    <xf numFmtId="0" fontId="2" fillId="0" borderId="4" xfId="0" applyFont="1" applyBorder="1" applyAlignment="1">
      <alignment readingOrder="1"/>
    </xf>
    <xf numFmtId="0" fontId="2" fillId="0" borderId="5" xfId="0" applyFont="1" applyBorder="1" applyAlignment="1">
      <alignment readingOrder="1"/>
    </xf>
    <xf numFmtId="0" fontId="2" fillId="0" borderId="0" xfId="0" applyFont="1" applyAlignment="1">
      <alignment horizontal="center" readingOrder="1"/>
    </xf>
    <xf numFmtId="0" fontId="5" fillId="0" borderId="8" xfId="0" applyFont="1" applyBorder="1" applyAlignment="1">
      <alignment horizontal="center" vertical="center" readingOrder="1"/>
    </xf>
    <xf numFmtId="0" fontId="0" fillId="0" borderId="9" xfId="0" applyBorder="1" applyAlignment="1">
      <alignment horizontal="center"/>
    </xf>
    <xf numFmtId="0" fontId="2" fillId="0" borderId="0" xfId="0" applyFont="1" applyAlignment="1">
      <alignment horizontal="center" vertical="center" readingOrder="1"/>
    </xf>
    <xf numFmtId="0" fontId="4" fillId="0" borderId="0" xfId="0" applyFont="1" applyAlignment="1">
      <alignment horizontal="center" vertical="center" readingOrder="1"/>
    </xf>
    <xf numFmtId="0" fontId="6" fillId="0" borderId="0" xfId="0" applyFont="1" applyAlignment="1">
      <alignment horizontal="center" vertical="center" readingOrder="1"/>
    </xf>
    <xf numFmtId="0" fontId="4" fillId="0" borderId="10" xfId="0" applyFont="1" applyBorder="1" applyAlignment="1">
      <alignment horizontal="center" vertical="center" readingOrder="1"/>
    </xf>
    <xf numFmtId="12" fontId="2" fillId="0" borderId="0" xfId="0" applyNumberFormat="1" applyFont="1" applyAlignment="1">
      <alignment horizontal="center" vertical="center" readingOrder="1"/>
    </xf>
    <xf numFmtId="0" fontId="6" fillId="0" borderId="0" xfId="0" applyFont="1" applyAlignment="1">
      <alignment horizontal="center" readingOrder="1"/>
    </xf>
    <xf numFmtId="0" fontId="4" fillId="0" borderId="0" xfId="0" applyFont="1" applyAlignment="1">
      <alignment horizontal="center" readingOrder="1"/>
    </xf>
    <xf numFmtId="0" fontId="5" fillId="0" borderId="0" xfId="0" applyFont="1" applyAlignment="1">
      <alignment horizontal="center" vertical="center" readingOrder="1"/>
    </xf>
    <xf numFmtId="0" fontId="0" fillId="0" borderId="11" xfId="0" applyBorder="1" applyAlignment="1">
      <alignment horizontal="center"/>
    </xf>
    <xf numFmtId="0" fontId="0" fillId="0" borderId="12" xfId="0" applyBorder="1" applyAlignment="1">
      <alignment horizontal="center" vertical="center"/>
    </xf>
    <xf numFmtId="0" fontId="4" fillId="0" borderId="12" xfId="0" applyFont="1" applyBorder="1" applyAlignment="1">
      <alignment horizontal="center" vertical="center" readingOrder="1"/>
    </xf>
    <xf numFmtId="0" fontId="2" fillId="0" borderId="12" xfId="0" applyFont="1" applyBorder="1" applyAlignment="1">
      <alignment horizontal="center" vertical="center" readingOrder="1"/>
    </xf>
    <xf numFmtId="0" fontId="3" fillId="0" borderId="12" xfId="0" applyFont="1" applyBorder="1" applyAlignment="1">
      <alignment horizontal="center" vertical="center"/>
    </xf>
    <xf numFmtId="0" fontId="6" fillId="0" borderId="12" xfId="0" applyFont="1" applyBorder="1" applyAlignment="1">
      <alignment horizontal="center" vertical="center"/>
    </xf>
    <xf numFmtId="0" fontId="4" fillId="0" borderId="13" xfId="0" applyFont="1" applyBorder="1" applyAlignment="1">
      <alignment horizontal="center" vertical="center" readingOrder="1"/>
    </xf>
    <xf numFmtId="0" fontId="5" fillId="2" borderId="6" xfId="0" applyFont="1" applyFill="1" applyBorder="1" applyAlignment="1">
      <alignment horizontal="center" vertical="center" readingOrder="1"/>
    </xf>
    <xf numFmtId="0" fontId="5" fillId="2" borderId="7" xfId="0" applyFont="1" applyFill="1" applyBorder="1" applyAlignment="1">
      <alignment horizontal="center" vertical="center" readingOrder="1"/>
    </xf>
    <xf numFmtId="0" fontId="2" fillId="2" borderId="7" xfId="0" applyFont="1" applyFill="1" applyBorder="1" applyAlignment="1">
      <alignment horizontal="center" vertical="center" readingOrder="1"/>
    </xf>
    <xf numFmtId="0" fontId="2" fillId="0" borderId="12" xfId="0" applyFont="1" applyBorder="1" applyAlignment="1">
      <alignment horizontal="center" vertical="center"/>
    </xf>
    <xf numFmtId="0" fontId="2" fillId="2" borderId="7" xfId="0" applyFont="1" applyFill="1" applyBorder="1" applyAlignment="1">
      <alignment horizontal="center" vertical="center" wrapText="1" readingOrder="1"/>
    </xf>
    <xf numFmtId="0" fontId="2" fillId="0" borderId="7" xfId="0" applyFont="1" applyBorder="1" applyAlignment="1">
      <alignment horizontal="center" vertical="center" readingOrder="1"/>
    </xf>
  </cellXfs>
  <cellStyles count="1">
    <cellStyle name="표준"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3F4E-703A-4277-A96D-475AC613649E}">
  <dimension ref="A1:AJ32"/>
  <sheetViews>
    <sheetView tabSelected="1" topLeftCell="A3" zoomScale="130" zoomScaleNormal="130" workbookViewId="0">
      <pane xSplit="1" topLeftCell="M1" activePane="topRight" state="frozen"/>
      <selection pane="topRight" activeCell="I5" sqref="I5"/>
    </sheetView>
  </sheetViews>
  <sheetFormatPr defaultColWidth="8.875" defaultRowHeight="16.5" customHeight="1" x14ac:dyDescent="0.3"/>
  <cols>
    <col min="1" max="1" width="6.75" style="1" bestFit="1" customWidth="1"/>
    <col min="2" max="2" width="4.375" style="1" bestFit="1" customWidth="1"/>
    <col min="3" max="3" width="6.75" style="1" bestFit="1" customWidth="1"/>
    <col min="4" max="4" width="9.875" style="1" bestFit="1" customWidth="1"/>
    <col min="5" max="5" width="12.875" style="1" bestFit="1" customWidth="1"/>
    <col min="6" max="6" width="11.625" style="1" bestFit="1" customWidth="1"/>
    <col min="7" max="8" width="19.25" style="1" bestFit="1" customWidth="1"/>
    <col min="9" max="9" width="27.5" style="1" bestFit="1" customWidth="1"/>
    <col min="10" max="10" width="19.25" style="1" bestFit="1" customWidth="1"/>
    <col min="11" max="11" width="23.75" style="1" bestFit="1" customWidth="1"/>
    <col min="12" max="12" width="21.75" style="1" bestFit="1" customWidth="1"/>
    <col min="13" max="13" width="19.25" style="1" bestFit="1" customWidth="1"/>
    <col min="14" max="14" width="23" style="1" bestFit="1" customWidth="1"/>
    <col min="15" max="16" width="23.25" style="1" bestFit="1" customWidth="1"/>
    <col min="17" max="17" width="24.375" style="1" bestFit="1" customWidth="1"/>
    <col min="18" max="18" width="24.75" style="1" bestFit="1" customWidth="1"/>
    <col min="19" max="19" width="9.875" style="1" bestFit="1" customWidth="1"/>
    <col min="20" max="20" width="37.875" style="1" customWidth="1"/>
    <col min="21" max="21" width="43.125" style="1" customWidth="1"/>
    <col min="22" max="22" width="32" style="1" bestFit="1" customWidth="1"/>
    <col min="23" max="23" width="34.125" style="1" bestFit="1" customWidth="1"/>
    <col min="24" max="24" width="46.125" style="1" bestFit="1" customWidth="1"/>
    <col min="25" max="25" width="39.5" style="1" bestFit="1" customWidth="1"/>
    <col min="26" max="26" width="38.25" style="1" bestFit="1" customWidth="1"/>
    <col min="27" max="27" width="173.75" style="1" bestFit="1" customWidth="1"/>
    <col min="28" max="28" width="37.25" style="1" bestFit="1" customWidth="1"/>
    <col min="29" max="29" width="34.125" style="1" bestFit="1" customWidth="1"/>
    <col min="30" max="30" width="46.125" style="1" bestFit="1" customWidth="1"/>
    <col min="31" max="31" width="39.5" style="1" bestFit="1" customWidth="1"/>
    <col min="32" max="32" width="38.25" style="1" bestFit="1" customWidth="1"/>
    <col min="33" max="33" width="128.125" style="1" bestFit="1" customWidth="1"/>
    <col min="34" max="34" width="31.25" style="1" bestFit="1" customWidth="1"/>
  </cols>
  <sheetData>
    <row r="1" spans="1:34" ht="17.25" thickBot="1" x14ac:dyDescent="0.35">
      <c r="A1" s="25" t="s">
        <v>25</v>
      </c>
      <c r="B1" s="26" t="s">
        <v>26</v>
      </c>
      <c r="C1" s="26" t="s">
        <v>27</v>
      </c>
      <c r="D1" s="27" t="s">
        <v>89</v>
      </c>
      <c r="E1" s="27" t="s">
        <v>28</v>
      </c>
      <c r="F1" s="27" t="s">
        <v>31</v>
      </c>
      <c r="G1" s="27" t="s">
        <v>96</v>
      </c>
      <c r="H1" s="27" t="s">
        <v>97</v>
      </c>
      <c r="I1" s="27" t="s">
        <v>98</v>
      </c>
      <c r="J1" s="27" t="s">
        <v>99</v>
      </c>
      <c r="K1" s="27" t="s">
        <v>100</v>
      </c>
      <c r="L1" s="27" t="s">
        <v>101</v>
      </c>
      <c r="M1" s="27" t="s">
        <v>102</v>
      </c>
      <c r="N1" s="27" t="s">
        <v>95</v>
      </c>
      <c r="O1" s="27" t="s">
        <v>94</v>
      </c>
      <c r="P1" s="27" t="s">
        <v>93</v>
      </c>
      <c r="Q1" s="27" t="s">
        <v>92</v>
      </c>
      <c r="R1" s="27" t="s">
        <v>91</v>
      </c>
      <c r="S1" s="27" t="s">
        <v>90</v>
      </c>
      <c r="T1" s="26" t="s">
        <v>32</v>
      </c>
      <c r="U1" s="29" t="s">
        <v>103</v>
      </c>
      <c r="V1" s="26" t="s">
        <v>33</v>
      </c>
      <c r="W1" s="26" t="s">
        <v>34</v>
      </c>
      <c r="X1" s="26" t="s">
        <v>35</v>
      </c>
      <c r="Y1" s="26" t="s">
        <v>36</v>
      </c>
      <c r="Z1" s="26" t="s">
        <v>37</v>
      </c>
      <c r="AA1" s="26" t="s">
        <v>39</v>
      </c>
      <c r="AB1" s="27" t="s">
        <v>104</v>
      </c>
      <c r="AC1" s="27" t="s">
        <v>105</v>
      </c>
      <c r="AD1" s="27" t="s">
        <v>106</v>
      </c>
      <c r="AE1" s="27" t="s">
        <v>107</v>
      </c>
      <c r="AF1" s="30" t="s">
        <v>108</v>
      </c>
      <c r="AG1" s="30" t="s">
        <v>109</v>
      </c>
      <c r="AH1" s="8" t="s">
        <v>85</v>
      </c>
    </row>
    <row r="2" spans="1:34" x14ac:dyDescent="0.3">
      <c r="A2" s="9" t="s">
        <v>22</v>
      </c>
      <c r="B2" s="10">
        <v>18</v>
      </c>
      <c r="C2" s="10" t="s">
        <v>87</v>
      </c>
      <c r="D2" s="10">
        <v>58</v>
      </c>
      <c r="E2" s="11" t="s">
        <v>29</v>
      </c>
      <c r="F2" s="11" t="s">
        <v>29</v>
      </c>
      <c r="G2" s="10">
        <v>17</v>
      </c>
      <c r="H2" s="10">
        <v>10</v>
      </c>
      <c r="I2" s="10">
        <v>30</v>
      </c>
      <c r="J2" s="10">
        <v>40</v>
      </c>
      <c r="K2" s="10">
        <v>27</v>
      </c>
      <c r="L2" s="10">
        <v>26</v>
      </c>
      <c r="M2" s="10">
        <v>17</v>
      </c>
      <c r="N2" s="10">
        <v>22</v>
      </c>
      <c r="O2" s="10">
        <v>48</v>
      </c>
      <c r="P2" s="10">
        <v>40</v>
      </c>
      <c r="Q2" s="10">
        <v>10</v>
      </c>
      <c r="R2" s="10">
        <v>24.5</v>
      </c>
      <c r="S2" s="10">
        <f>G2+H2+J2+O2+P2+Q2</f>
        <v>165</v>
      </c>
      <c r="T2" s="10">
        <v>0</v>
      </c>
      <c r="U2" s="10">
        <v>1</v>
      </c>
      <c r="V2" s="10">
        <v>5</v>
      </c>
      <c r="W2" s="10">
        <v>1</v>
      </c>
      <c r="X2" s="10">
        <v>4</v>
      </c>
      <c r="Y2" s="10">
        <v>1</v>
      </c>
      <c r="Z2" s="10">
        <v>1</v>
      </c>
      <c r="AA2" s="12" t="s">
        <v>38</v>
      </c>
      <c r="AB2" s="10">
        <v>4</v>
      </c>
      <c r="AC2" s="10">
        <v>7</v>
      </c>
      <c r="AD2" s="10">
        <v>5</v>
      </c>
      <c r="AE2" s="10">
        <v>7</v>
      </c>
      <c r="AF2" s="10">
        <v>7</v>
      </c>
      <c r="AG2" s="11" t="s">
        <v>62</v>
      </c>
      <c r="AH2" s="13" t="s">
        <v>86</v>
      </c>
    </row>
    <row r="3" spans="1:34" x14ac:dyDescent="0.3">
      <c r="A3" s="9" t="s">
        <v>23</v>
      </c>
      <c r="B3" s="10">
        <v>24</v>
      </c>
      <c r="C3" s="11" t="s">
        <v>87</v>
      </c>
      <c r="D3" s="10">
        <v>65</v>
      </c>
      <c r="E3" s="11" t="s">
        <v>29</v>
      </c>
      <c r="F3" s="11" t="s">
        <v>29</v>
      </c>
      <c r="G3" s="10">
        <v>17</v>
      </c>
      <c r="H3" s="10">
        <v>7</v>
      </c>
      <c r="I3" s="10">
        <v>32</v>
      </c>
      <c r="J3" s="10">
        <v>58</v>
      </c>
      <c r="K3" s="10">
        <v>28</v>
      </c>
      <c r="L3" s="10">
        <v>27</v>
      </c>
      <c r="M3" s="10">
        <v>18</v>
      </c>
      <c r="N3" s="10">
        <v>21</v>
      </c>
      <c r="O3" s="10">
        <v>40</v>
      </c>
      <c r="P3" s="10">
        <v>36</v>
      </c>
      <c r="Q3" s="10">
        <v>6</v>
      </c>
      <c r="R3" s="10">
        <v>24</v>
      </c>
      <c r="S3" s="10">
        <f t="shared" ref="S3:S26" si="0">G3+H3+J3+O3+P3+Q3</f>
        <v>164</v>
      </c>
      <c r="T3" s="10">
        <v>0</v>
      </c>
      <c r="U3" s="10">
        <v>1</v>
      </c>
      <c r="V3" s="10">
        <v>1</v>
      </c>
      <c r="W3" s="10">
        <v>1</v>
      </c>
      <c r="X3" s="10">
        <v>1</v>
      </c>
      <c r="Y3" s="10">
        <v>1</v>
      </c>
      <c r="Z3" s="10">
        <v>1</v>
      </c>
      <c r="AA3" s="12" t="s">
        <v>40</v>
      </c>
      <c r="AB3" s="10">
        <v>7</v>
      </c>
      <c r="AC3" s="10">
        <v>7</v>
      </c>
      <c r="AD3" s="10">
        <v>7</v>
      </c>
      <c r="AE3" s="10">
        <v>7</v>
      </c>
      <c r="AF3" s="10">
        <v>7</v>
      </c>
      <c r="AG3" s="11" t="s">
        <v>63</v>
      </c>
      <c r="AH3" s="13" t="s">
        <v>86</v>
      </c>
    </row>
    <row r="4" spans="1:34" x14ac:dyDescent="0.3">
      <c r="A4" s="9" t="s">
        <v>24</v>
      </c>
      <c r="B4" s="10">
        <v>25</v>
      </c>
      <c r="C4" s="10" t="s">
        <v>88</v>
      </c>
      <c r="D4" s="10">
        <v>90</v>
      </c>
      <c r="E4" s="11" t="s">
        <v>29</v>
      </c>
      <c r="F4" s="11" t="s">
        <v>29</v>
      </c>
      <c r="G4" s="10">
        <v>17</v>
      </c>
      <c r="H4" s="10">
        <v>11</v>
      </c>
      <c r="I4" s="10">
        <v>43</v>
      </c>
      <c r="J4" s="10">
        <v>65</v>
      </c>
      <c r="K4" s="10">
        <v>33</v>
      </c>
      <c r="L4" s="10">
        <v>27</v>
      </c>
      <c r="M4" s="10">
        <v>18</v>
      </c>
      <c r="N4" s="10">
        <v>23</v>
      </c>
      <c r="O4" s="10">
        <v>45</v>
      </c>
      <c r="P4" s="10">
        <v>35</v>
      </c>
      <c r="Q4" s="10">
        <v>8</v>
      </c>
      <c r="R4" s="10">
        <v>26.5</v>
      </c>
      <c r="S4" s="10">
        <f t="shared" si="0"/>
        <v>181</v>
      </c>
      <c r="T4" s="10">
        <v>0</v>
      </c>
      <c r="U4" s="10">
        <v>2</v>
      </c>
      <c r="V4" s="10">
        <v>5</v>
      </c>
      <c r="W4" s="10">
        <v>3</v>
      </c>
      <c r="X4" s="10">
        <v>2</v>
      </c>
      <c r="Y4" s="10">
        <v>4</v>
      </c>
      <c r="Z4" s="10">
        <v>1</v>
      </c>
      <c r="AA4" s="12" t="s">
        <v>41</v>
      </c>
      <c r="AB4" s="10">
        <v>3</v>
      </c>
      <c r="AC4" s="10">
        <v>6</v>
      </c>
      <c r="AD4" s="10">
        <v>5</v>
      </c>
      <c r="AE4" s="10">
        <v>4</v>
      </c>
      <c r="AF4" s="10">
        <v>7</v>
      </c>
      <c r="AG4" s="11" t="s">
        <v>63</v>
      </c>
      <c r="AH4" s="13" t="s">
        <v>86</v>
      </c>
    </row>
    <row r="5" spans="1:34" x14ac:dyDescent="0.3">
      <c r="A5" s="9" t="s">
        <v>0</v>
      </c>
      <c r="B5" s="10">
        <v>21</v>
      </c>
      <c r="C5" s="10" t="s">
        <v>88</v>
      </c>
      <c r="D5" s="10">
        <v>65</v>
      </c>
      <c r="E5" s="11" t="s">
        <v>29</v>
      </c>
      <c r="F5" s="11" t="s">
        <v>29</v>
      </c>
      <c r="G5" s="10">
        <v>15</v>
      </c>
      <c r="H5" s="10">
        <v>15</v>
      </c>
      <c r="I5" s="10">
        <v>41</v>
      </c>
      <c r="J5" s="10">
        <v>63</v>
      </c>
      <c r="K5" s="10">
        <v>30</v>
      </c>
      <c r="L5" s="10">
        <v>28</v>
      </c>
      <c r="M5" s="10">
        <v>19</v>
      </c>
      <c r="N5" s="10">
        <v>22</v>
      </c>
      <c r="O5" s="10">
        <v>34</v>
      </c>
      <c r="P5" s="10">
        <v>39</v>
      </c>
      <c r="Q5" s="10">
        <v>9</v>
      </c>
      <c r="R5" s="10">
        <v>27</v>
      </c>
      <c r="S5" s="10">
        <f t="shared" si="0"/>
        <v>175</v>
      </c>
      <c r="T5" s="10">
        <v>0</v>
      </c>
      <c r="U5" s="10">
        <v>1</v>
      </c>
      <c r="V5" s="10">
        <v>5</v>
      </c>
      <c r="W5" s="10">
        <v>1</v>
      </c>
      <c r="X5" s="10">
        <v>2</v>
      </c>
      <c r="Y5" s="10">
        <v>3</v>
      </c>
      <c r="Z5" s="10">
        <v>1</v>
      </c>
      <c r="AA5" s="12" t="s">
        <v>42</v>
      </c>
      <c r="AB5" s="10">
        <v>4</v>
      </c>
      <c r="AC5" s="10">
        <v>7</v>
      </c>
      <c r="AD5" s="10">
        <v>6</v>
      </c>
      <c r="AE5" s="10">
        <v>5</v>
      </c>
      <c r="AF5" s="10">
        <v>7</v>
      </c>
      <c r="AG5" s="11" t="s">
        <v>64</v>
      </c>
      <c r="AH5" s="13" t="s">
        <v>86</v>
      </c>
    </row>
    <row r="6" spans="1:34" x14ac:dyDescent="0.3">
      <c r="A6" s="9" t="s">
        <v>1</v>
      </c>
      <c r="B6" s="10">
        <v>21</v>
      </c>
      <c r="C6" s="10" t="s">
        <v>88</v>
      </c>
      <c r="D6" s="10">
        <v>103</v>
      </c>
      <c r="E6" s="11" t="s">
        <v>29</v>
      </c>
      <c r="F6" s="11" t="s">
        <v>29</v>
      </c>
      <c r="G6" s="10">
        <v>16</v>
      </c>
      <c r="H6" s="10">
        <v>11</v>
      </c>
      <c r="I6" s="10">
        <v>43</v>
      </c>
      <c r="J6" s="10">
        <v>58</v>
      </c>
      <c r="K6" s="10">
        <v>25</v>
      </c>
      <c r="L6" s="10">
        <v>24</v>
      </c>
      <c r="M6" s="10">
        <v>18</v>
      </c>
      <c r="N6" s="10">
        <v>20</v>
      </c>
      <c r="O6" s="10">
        <v>36</v>
      </c>
      <c r="P6" s="10">
        <v>37</v>
      </c>
      <c r="Q6" s="10">
        <v>8</v>
      </c>
      <c r="R6" s="10">
        <v>27</v>
      </c>
      <c r="S6" s="10">
        <f t="shared" si="0"/>
        <v>166</v>
      </c>
      <c r="T6" s="10">
        <v>0</v>
      </c>
      <c r="U6" s="10">
        <v>2</v>
      </c>
      <c r="V6" s="10">
        <v>1</v>
      </c>
      <c r="W6" s="10">
        <v>2</v>
      </c>
      <c r="X6" s="10">
        <v>3</v>
      </c>
      <c r="Y6" s="10">
        <v>2</v>
      </c>
      <c r="Z6" s="10">
        <v>1</v>
      </c>
      <c r="AA6" s="12" t="s">
        <v>40</v>
      </c>
      <c r="AB6" s="10">
        <v>6</v>
      </c>
      <c r="AC6" s="10">
        <v>7</v>
      </c>
      <c r="AD6" s="10">
        <v>7</v>
      </c>
      <c r="AE6" s="10">
        <v>5</v>
      </c>
      <c r="AF6" s="10">
        <v>7</v>
      </c>
      <c r="AG6" s="11" t="s">
        <v>65</v>
      </c>
      <c r="AH6" s="13" t="s">
        <v>86</v>
      </c>
    </row>
    <row r="7" spans="1:34" x14ac:dyDescent="0.3">
      <c r="A7" s="9" t="s">
        <v>2</v>
      </c>
      <c r="B7" s="10">
        <v>19</v>
      </c>
      <c r="C7" s="10" t="s">
        <v>88</v>
      </c>
      <c r="D7" s="10">
        <v>90</v>
      </c>
      <c r="E7" s="11" t="s">
        <v>29</v>
      </c>
      <c r="F7" s="11" t="s">
        <v>29</v>
      </c>
      <c r="G7" s="10">
        <v>18</v>
      </c>
      <c r="H7" s="10">
        <v>12</v>
      </c>
      <c r="I7" s="10">
        <v>42</v>
      </c>
      <c r="J7" s="10">
        <v>60</v>
      </c>
      <c r="K7" s="10">
        <v>29</v>
      </c>
      <c r="L7" s="10">
        <v>28</v>
      </c>
      <c r="M7" s="10">
        <v>18</v>
      </c>
      <c r="N7" s="10">
        <v>18</v>
      </c>
      <c r="O7" s="10">
        <v>45</v>
      </c>
      <c r="P7" s="10">
        <v>43</v>
      </c>
      <c r="Q7" s="10">
        <v>9</v>
      </c>
      <c r="R7" s="10">
        <v>28</v>
      </c>
      <c r="S7" s="10">
        <f t="shared" si="0"/>
        <v>187</v>
      </c>
      <c r="T7" s="10">
        <v>0</v>
      </c>
      <c r="U7" s="10">
        <v>2</v>
      </c>
      <c r="V7" s="10">
        <v>3</v>
      </c>
      <c r="W7" s="10">
        <v>4</v>
      </c>
      <c r="X7" s="10">
        <v>4</v>
      </c>
      <c r="Y7" s="10">
        <v>2</v>
      </c>
      <c r="Z7" s="10">
        <v>1</v>
      </c>
      <c r="AA7" s="12" t="s">
        <v>43</v>
      </c>
      <c r="AB7" s="10">
        <v>4</v>
      </c>
      <c r="AC7" s="10">
        <v>5</v>
      </c>
      <c r="AD7" s="10">
        <v>2</v>
      </c>
      <c r="AE7" s="10">
        <v>5</v>
      </c>
      <c r="AF7" s="10">
        <v>5</v>
      </c>
      <c r="AG7" s="11" t="s">
        <v>66</v>
      </c>
      <c r="AH7" s="13" t="s">
        <v>86</v>
      </c>
    </row>
    <row r="8" spans="1:34" x14ac:dyDescent="0.3">
      <c r="A8" s="9" t="s">
        <v>3</v>
      </c>
      <c r="B8" s="10">
        <v>23</v>
      </c>
      <c r="C8" s="10" t="s">
        <v>88</v>
      </c>
      <c r="D8" s="10">
        <v>61</v>
      </c>
      <c r="E8" s="11" t="s">
        <v>29</v>
      </c>
      <c r="F8" s="11" t="s">
        <v>29</v>
      </c>
      <c r="G8" s="10">
        <v>15</v>
      </c>
      <c r="H8" s="10">
        <v>11</v>
      </c>
      <c r="I8" s="10">
        <v>39</v>
      </c>
      <c r="J8" s="10">
        <v>60</v>
      </c>
      <c r="K8" s="10">
        <v>27</v>
      </c>
      <c r="L8" s="10">
        <v>26</v>
      </c>
      <c r="M8" s="10">
        <v>16</v>
      </c>
      <c r="N8" s="10">
        <v>20</v>
      </c>
      <c r="O8" s="10">
        <v>32</v>
      </c>
      <c r="P8" s="10">
        <v>39</v>
      </c>
      <c r="Q8" s="10">
        <v>7</v>
      </c>
      <c r="R8" s="10">
        <v>25.5</v>
      </c>
      <c r="S8" s="10">
        <f t="shared" si="0"/>
        <v>164</v>
      </c>
      <c r="T8" s="10">
        <v>0</v>
      </c>
      <c r="U8" s="10">
        <v>2</v>
      </c>
      <c r="V8" s="10">
        <v>6</v>
      </c>
      <c r="W8" s="10">
        <v>3</v>
      </c>
      <c r="X8" s="10">
        <v>5</v>
      </c>
      <c r="Y8" s="10">
        <v>2</v>
      </c>
      <c r="Z8" s="10">
        <v>4</v>
      </c>
      <c r="AA8" s="12" t="s">
        <v>44</v>
      </c>
      <c r="AB8" s="10">
        <v>2</v>
      </c>
      <c r="AC8" s="10">
        <v>6</v>
      </c>
      <c r="AD8" s="10">
        <v>3</v>
      </c>
      <c r="AE8" s="10">
        <v>5</v>
      </c>
      <c r="AF8" s="10">
        <v>4</v>
      </c>
      <c r="AG8" s="11" t="s">
        <v>67</v>
      </c>
      <c r="AH8" s="13" t="s">
        <v>86</v>
      </c>
    </row>
    <row r="9" spans="1:34" x14ac:dyDescent="0.3">
      <c r="A9" s="9" t="s">
        <v>4</v>
      </c>
      <c r="B9" s="10">
        <v>24</v>
      </c>
      <c r="C9" s="10" t="s">
        <v>88</v>
      </c>
      <c r="D9" s="10">
        <v>85</v>
      </c>
      <c r="E9" s="11" t="s">
        <v>29</v>
      </c>
      <c r="F9" s="11" t="s">
        <v>29</v>
      </c>
      <c r="G9" s="10">
        <v>17</v>
      </c>
      <c r="H9" s="10">
        <v>10</v>
      </c>
      <c r="I9" s="10">
        <v>41</v>
      </c>
      <c r="J9" s="10">
        <v>53</v>
      </c>
      <c r="K9" s="10">
        <v>32</v>
      </c>
      <c r="L9" s="10">
        <v>30</v>
      </c>
      <c r="M9" s="10">
        <v>16</v>
      </c>
      <c r="N9" s="10">
        <v>22</v>
      </c>
      <c r="O9" s="10">
        <v>45</v>
      </c>
      <c r="P9" s="10">
        <v>38</v>
      </c>
      <c r="Q9" s="10">
        <v>7</v>
      </c>
      <c r="R9" s="10">
        <v>26.5</v>
      </c>
      <c r="S9" s="10">
        <f t="shared" si="0"/>
        <v>170</v>
      </c>
      <c r="T9" s="10">
        <v>0</v>
      </c>
      <c r="U9" s="10">
        <v>1</v>
      </c>
      <c r="V9" s="10">
        <v>5</v>
      </c>
      <c r="W9" s="10">
        <v>2</v>
      </c>
      <c r="X9" s="10">
        <v>6</v>
      </c>
      <c r="Y9" s="10">
        <v>6</v>
      </c>
      <c r="Z9" s="10">
        <v>2</v>
      </c>
      <c r="AA9" s="12" t="s">
        <v>45</v>
      </c>
      <c r="AB9" s="10">
        <v>6</v>
      </c>
      <c r="AC9" s="10">
        <v>6</v>
      </c>
      <c r="AD9" s="10">
        <v>2</v>
      </c>
      <c r="AE9" s="10">
        <v>4</v>
      </c>
      <c r="AF9" s="10">
        <v>6</v>
      </c>
      <c r="AG9" s="11" t="s">
        <v>68</v>
      </c>
      <c r="AH9" s="13" t="s">
        <v>86</v>
      </c>
    </row>
    <row r="10" spans="1:34" x14ac:dyDescent="0.3">
      <c r="A10" s="9" t="s">
        <v>5</v>
      </c>
      <c r="B10" s="10">
        <v>28</v>
      </c>
      <c r="C10" s="10" t="s">
        <v>88</v>
      </c>
      <c r="D10" s="10">
        <v>90</v>
      </c>
      <c r="E10" s="11" t="s">
        <v>29</v>
      </c>
      <c r="F10" s="11" t="s">
        <v>29</v>
      </c>
      <c r="G10" s="10">
        <v>19</v>
      </c>
      <c r="H10" s="10">
        <v>14</v>
      </c>
      <c r="I10" s="10">
        <v>44</v>
      </c>
      <c r="J10" s="10">
        <v>56</v>
      </c>
      <c r="K10" s="10">
        <v>35</v>
      </c>
      <c r="L10" s="10">
        <v>29</v>
      </c>
      <c r="M10" s="10">
        <v>17</v>
      </c>
      <c r="N10" s="10">
        <v>24</v>
      </c>
      <c r="O10" s="10">
        <v>54</v>
      </c>
      <c r="P10" s="10">
        <v>40</v>
      </c>
      <c r="Q10" s="10">
        <v>7</v>
      </c>
      <c r="R10" s="10">
        <v>27</v>
      </c>
      <c r="S10" s="10">
        <f t="shared" si="0"/>
        <v>190</v>
      </c>
      <c r="T10" s="14">
        <f>10/12</f>
        <v>0.83333333333333337</v>
      </c>
      <c r="U10" s="10">
        <v>3</v>
      </c>
      <c r="V10" s="10">
        <v>4</v>
      </c>
      <c r="W10" s="10">
        <v>1</v>
      </c>
      <c r="X10" s="10">
        <v>6</v>
      </c>
      <c r="Y10" s="10">
        <v>1</v>
      </c>
      <c r="Z10" s="10">
        <v>1</v>
      </c>
      <c r="AA10" s="12" t="s">
        <v>46</v>
      </c>
      <c r="AB10" s="10">
        <v>6</v>
      </c>
      <c r="AC10" s="10">
        <v>7</v>
      </c>
      <c r="AD10" s="10">
        <v>2</v>
      </c>
      <c r="AE10" s="10">
        <v>7</v>
      </c>
      <c r="AF10" s="10">
        <v>7</v>
      </c>
      <c r="AG10" s="11" t="s">
        <v>69</v>
      </c>
      <c r="AH10" s="13" t="s">
        <v>86</v>
      </c>
    </row>
    <row r="11" spans="1:34" x14ac:dyDescent="0.3">
      <c r="A11" s="9" t="s">
        <v>6</v>
      </c>
      <c r="B11" s="10">
        <v>26</v>
      </c>
      <c r="C11" s="10" t="s">
        <v>88</v>
      </c>
      <c r="D11" s="10">
        <v>64</v>
      </c>
      <c r="E11" s="11" t="s">
        <v>29</v>
      </c>
      <c r="F11" s="11" t="s">
        <v>29</v>
      </c>
      <c r="G11" s="10">
        <v>18</v>
      </c>
      <c r="H11" s="10">
        <v>10</v>
      </c>
      <c r="I11" s="10">
        <v>40</v>
      </c>
      <c r="J11" s="10">
        <v>53</v>
      </c>
      <c r="K11" s="10">
        <v>27</v>
      </c>
      <c r="L11" s="10">
        <v>27</v>
      </c>
      <c r="M11" s="10">
        <v>17</v>
      </c>
      <c r="N11" s="10">
        <v>21</v>
      </c>
      <c r="O11" s="10">
        <v>44</v>
      </c>
      <c r="P11" s="10">
        <v>40</v>
      </c>
      <c r="Q11" s="10">
        <v>6</v>
      </c>
      <c r="R11" s="10">
        <v>27</v>
      </c>
      <c r="S11" s="10">
        <f t="shared" si="0"/>
        <v>171</v>
      </c>
      <c r="T11" s="10">
        <v>1</v>
      </c>
      <c r="U11" s="10">
        <v>5</v>
      </c>
      <c r="V11" s="10">
        <v>2</v>
      </c>
      <c r="W11" s="10">
        <v>2</v>
      </c>
      <c r="X11" s="10">
        <v>2</v>
      </c>
      <c r="Y11" s="10">
        <v>2</v>
      </c>
      <c r="Z11" s="10">
        <v>2</v>
      </c>
      <c r="AA11" s="12" t="s">
        <v>47</v>
      </c>
      <c r="AB11" s="10">
        <v>4</v>
      </c>
      <c r="AC11" s="10">
        <v>6</v>
      </c>
      <c r="AD11" s="10">
        <v>6</v>
      </c>
      <c r="AE11" s="10">
        <v>4</v>
      </c>
      <c r="AF11" s="10">
        <v>5</v>
      </c>
      <c r="AG11" s="11" t="s">
        <v>70</v>
      </c>
      <c r="AH11" s="13" t="s">
        <v>86</v>
      </c>
    </row>
    <row r="12" spans="1:34" x14ac:dyDescent="0.3">
      <c r="A12" s="9" t="s">
        <v>7</v>
      </c>
      <c r="B12" s="10">
        <v>24</v>
      </c>
      <c r="C12" s="10" t="s">
        <v>88</v>
      </c>
      <c r="D12" s="10">
        <v>63</v>
      </c>
      <c r="E12" s="11" t="s">
        <v>29</v>
      </c>
      <c r="F12" s="11" t="s">
        <v>29</v>
      </c>
      <c r="G12" s="10">
        <v>15</v>
      </c>
      <c r="H12" s="10">
        <v>13</v>
      </c>
      <c r="I12" s="10">
        <v>39</v>
      </c>
      <c r="J12" s="10">
        <v>58</v>
      </c>
      <c r="K12" s="10">
        <v>31</v>
      </c>
      <c r="L12" s="10">
        <v>27</v>
      </c>
      <c r="M12" s="10">
        <v>19</v>
      </c>
      <c r="N12" s="10">
        <v>20</v>
      </c>
      <c r="O12" s="10">
        <v>43</v>
      </c>
      <c r="P12" s="10">
        <v>38</v>
      </c>
      <c r="Q12" s="10">
        <v>7</v>
      </c>
      <c r="R12" s="10">
        <v>27</v>
      </c>
      <c r="S12" s="10">
        <f t="shared" si="0"/>
        <v>174</v>
      </c>
      <c r="T12" s="10">
        <v>0</v>
      </c>
      <c r="U12" s="10">
        <v>1</v>
      </c>
      <c r="V12" s="10">
        <v>3</v>
      </c>
      <c r="W12" s="10">
        <v>2</v>
      </c>
      <c r="X12" s="10">
        <v>2</v>
      </c>
      <c r="Y12" s="10">
        <v>2</v>
      </c>
      <c r="Z12" s="10">
        <v>1</v>
      </c>
      <c r="AA12" s="12" t="s">
        <v>48</v>
      </c>
      <c r="AB12" s="10">
        <v>6</v>
      </c>
      <c r="AC12" s="10">
        <v>6</v>
      </c>
      <c r="AD12" s="10">
        <v>6</v>
      </c>
      <c r="AE12" s="10">
        <v>6</v>
      </c>
      <c r="AF12" s="10">
        <v>7</v>
      </c>
      <c r="AG12" s="11" t="s">
        <v>71</v>
      </c>
      <c r="AH12" s="13" t="s">
        <v>86</v>
      </c>
    </row>
    <row r="13" spans="1:34" x14ac:dyDescent="0.3">
      <c r="A13" s="9" t="s">
        <v>8</v>
      </c>
      <c r="B13" s="10">
        <v>52</v>
      </c>
      <c r="C13" s="11" t="s">
        <v>87</v>
      </c>
      <c r="D13" s="10">
        <v>58</v>
      </c>
      <c r="E13" s="11" t="s">
        <v>29</v>
      </c>
      <c r="F13" s="11" t="s">
        <v>29</v>
      </c>
      <c r="G13" s="10">
        <v>15</v>
      </c>
      <c r="H13" s="10">
        <v>10</v>
      </c>
      <c r="I13" s="10">
        <v>37</v>
      </c>
      <c r="J13" s="10">
        <v>52</v>
      </c>
      <c r="K13" s="10">
        <v>28</v>
      </c>
      <c r="L13" s="10">
        <v>22</v>
      </c>
      <c r="M13" s="10">
        <v>17</v>
      </c>
      <c r="N13" s="10">
        <v>23</v>
      </c>
      <c r="O13" s="10">
        <v>40</v>
      </c>
      <c r="P13" s="10">
        <v>38</v>
      </c>
      <c r="Q13" s="10">
        <v>5</v>
      </c>
      <c r="R13" s="10">
        <v>24</v>
      </c>
      <c r="S13" s="10">
        <f t="shared" si="0"/>
        <v>160</v>
      </c>
      <c r="T13" s="10">
        <v>14</v>
      </c>
      <c r="U13" s="10">
        <v>7</v>
      </c>
      <c r="V13" s="10">
        <v>1</v>
      </c>
      <c r="W13" s="10">
        <v>1</v>
      </c>
      <c r="X13" s="10">
        <v>4</v>
      </c>
      <c r="Y13" s="10">
        <v>1</v>
      </c>
      <c r="Z13" s="10">
        <v>1</v>
      </c>
      <c r="AA13" s="12" t="s">
        <v>40</v>
      </c>
      <c r="AB13" s="10">
        <v>7</v>
      </c>
      <c r="AC13" s="10">
        <v>7</v>
      </c>
      <c r="AD13" s="10">
        <v>2</v>
      </c>
      <c r="AE13" s="10">
        <v>7</v>
      </c>
      <c r="AF13" s="10">
        <v>7</v>
      </c>
      <c r="AG13" s="11" t="s">
        <v>72</v>
      </c>
      <c r="AH13" s="13" t="s">
        <v>86</v>
      </c>
    </row>
    <row r="14" spans="1:34" x14ac:dyDescent="0.3">
      <c r="A14" s="9" t="s">
        <v>9</v>
      </c>
      <c r="B14" s="10">
        <v>26</v>
      </c>
      <c r="C14" s="11" t="s">
        <v>87</v>
      </c>
      <c r="D14" s="10">
        <v>68</v>
      </c>
      <c r="E14" s="11" t="s">
        <v>29</v>
      </c>
      <c r="F14" s="11" t="s">
        <v>29</v>
      </c>
      <c r="G14" s="10">
        <v>16</v>
      </c>
      <c r="H14" s="10">
        <v>9</v>
      </c>
      <c r="I14" s="10">
        <v>38</v>
      </c>
      <c r="J14" s="10">
        <v>54</v>
      </c>
      <c r="K14" s="10">
        <v>28</v>
      </c>
      <c r="L14" s="10">
        <v>23</v>
      </c>
      <c r="M14" s="10">
        <v>16</v>
      </c>
      <c r="N14" s="10">
        <v>20</v>
      </c>
      <c r="O14" s="10">
        <v>43</v>
      </c>
      <c r="P14" s="10">
        <v>39</v>
      </c>
      <c r="Q14" s="10">
        <v>5</v>
      </c>
      <c r="R14" s="10">
        <v>24</v>
      </c>
      <c r="S14" s="10">
        <f t="shared" si="0"/>
        <v>166</v>
      </c>
      <c r="T14" s="10">
        <v>2.5</v>
      </c>
      <c r="U14" s="10">
        <v>5</v>
      </c>
      <c r="V14" s="10">
        <v>1</v>
      </c>
      <c r="W14" s="10">
        <v>1</v>
      </c>
      <c r="X14" s="10">
        <v>3</v>
      </c>
      <c r="Y14" s="10">
        <v>1</v>
      </c>
      <c r="Z14" s="10">
        <v>1</v>
      </c>
      <c r="AA14" s="12" t="s">
        <v>49</v>
      </c>
      <c r="AB14" s="10">
        <v>6</v>
      </c>
      <c r="AC14" s="10">
        <v>7</v>
      </c>
      <c r="AD14" s="10">
        <v>7</v>
      </c>
      <c r="AE14" s="10">
        <v>7</v>
      </c>
      <c r="AF14" s="10">
        <v>7</v>
      </c>
      <c r="AG14" s="11" t="s">
        <v>66</v>
      </c>
      <c r="AH14" s="13" t="s">
        <v>86</v>
      </c>
    </row>
    <row r="15" spans="1:34" x14ac:dyDescent="0.3">
      <c r="A15" s="9" t="s">
        <v>10</v>
      </c>
      <c r="B15" s="10">
        <v>26</v>
      </c>
      <c r="C15" s="10" t="s">
        <v>88</v>
      </c>
      <c r="D15" s="10">
        <v>70</v>
      </c>
      <c r="E15" s="11" t="s">
        <v>30</v>
      </c>
      <c r="F15" s="11" t="s">
        <v>30</v>
      </c>
      <c r="G15" s="10">
        <v>18</v>
      </c>
      <c r="H15" s="10">
        <v>9</v>
      </c>
      <c r="I15" s="10">
        <v>45</v>
      </c>
      <c r="J15" s="10">
        <v>57</v>
      </c>
      <c r="K15" s="10">
        <v>29</v>
      </c>
      <c r="L15" s="10">
        <v>25</v>
      </c>
      <c r="M15" s="10">
        <v>18</v>
      </c>
      <c r="N15" s="10">
        <v>20</v>
      </c>
      <c r="O15" s="10">
        <v>41</v>
      </c>
      <c r="P15" s="10">
        <v>39</v>
      </c>
      <c r="Q15" s="10">
        <v>5</v>
      </c>
      <c r="R15" s="10">
        <v>26.5</v>
      </c>
      <c r="S15" s="10">
        <f t="shared" si="0"/>
        <v>169</v>
      </c>
      <c r="T15" s="10">
        <v>0.5</v>
      </c>
      <c r="U15" s="10">
        <v>4</v>
      </c>
      <c r="V15" s="10">
        <v>2</v>
      </c>
      <c r="W15" s="10">
        <v>1</v>
      </c>
      <c r="X15" s="10">
        <v>1</v>
      </c>
      <c r="Y15" s="10">
        <v>4</v>
      </c>
      <c r="Z15" s="10">
        <v>1</v>
      </c>
      <c r="AA15" s="12" t="s">
        <v>50</v>
      </c>
      <c r="AB15" s="10">
        <v>3</v>
      </c>
      <c r="AC15" s="10">
        <v>7</v>
      </c>
      <c r="AD15" s="10">
        <v>7</v>
      </c>
      <c r="AE15" s="10">
        <v>2</v>
      </c>
      <c r="AF15" s="10">
        <v>4</v>
      </c>
      <c r="AG15" s="11" t="s">
        <v>73</v>
      </c>
      <c r="AH15" s="13" t="s">
        <v>86</v>
      </c>
    </row>
    <row r="16" spans="1:34" x14ac:dyDescent="0.3">
      <c r="A16" s="9" t="s">
        <v>11</v>
      </c>
      <c r="B16" s="10">
        <v>28</v>
      </c>
      <c r="C16" s="10" t="s">
        <v>88</v>
      </c>
      <c r="D16" s="10">
        <v>72</v>
      </c>
      <c r="E16" s="11" t="s">
        <v>29</v>
      </c>
      <c r="F16" s="11" t="s">
        <v>29</v>
      </c>
      <c r="G16" s="10">
        <v>18</v>
      </c>
      <c r="H16" s="10">
        <v>12</v>
      </c>
      <c r="I16" s="10">
        <v>43</v>
      </c>
      <c r="J16" s="10">
        <v>64</v>
      </c>
      <c r="K16" s="10">
        <v>28</v>
      </c>
      <c r="L16" s="10">
        <v>28</v>
      </c>
      <c r="M16" s="10">
        <v>19</v>
      </c>
      <c r="N16" s="10">
        <v>22</v>
      </c>
      <c r="O16" s="10">
        <v>44</v>
      </c>
      <c r="P16" s="10">
        <v>43</v>
      </c>
      <c r="Q16" s="10">
        <v>5</v>
      </c>
      <c r="R16" s="10">
        <v>28</v>
      </c>
      <c r="S16" s="10">
        <f t="shared" si="0"/>
        <v>186</v>
      </c>
      <c r="T16" s="10">
        <v>18</v>
      </c>
      <c r="U16" s="10">
        <v>7</v>
      </c>
      <c r="V16" s="10">
        <v>2</v>
      </c>
      <c r="W16" s="10">
        <v>1</v>
      </c>
      <c r="X16" s="10">
        <v>1</v>
      </c>
      <c r="Y16" s="10">
        <v>1</v>
      </c>
      <c r="Z16" s="10">
        <v>1</v>
      </c>
      <c r="AA16" s="12" t="s">
        <v>51</v>
      </c>
      <c r="AB16" s="10">
        <v>7</v>
      </c>
      <c r="AC16" s="10">
        <v>7</v>
      </c>
      <c r="AD16" s="10">
        <v>7</v>
      </c>
      <c r="AE16" s="10">
        <v>7</v>
      </c>
      <c r="AF16" s="10">
        <v>7</v>
      </c>
      <c r="AG16" s="11" t="s">
        <v>74</v>
      </c>
      <c r="AH16" s="13" t="s">
        <v>86</v>
      </c>
    </row>
    <row r="17" spans="1:36" x14ac:dyDescent="0.3">
      <c r="A17" s="9" t="s">
        <v>12</v>
      </c>
      <c r="B17" s="10">
        <v>38</v>
      </c>
      <c r="C17" s="10" t="s">
        <v>88</v>
      </c>
      <c r="D17" s="10">
        <v>83</v>
      </c>
      <c r="E17" s="11" t="s">
        <v>29</v>
      </c>
      <c r="F17" s="11" t="s">
        <v>29</v>
      </c>
      <c r="G17" s="10">
        <v>18</v>
      </c>
      <c r="H17" s="10">
        <v>10</v>
      </c>
      <c r="I17" s="10">
        <v>42</v>
      </c>
      <c r="J17" s="10">
        <v>60</v>
      </c>
      <c r="K17" s="10">
        <v>27</v>
      </c>
      <c r="L17" s="10">
        <v>26</v>
      </c>
      <c r="M17" s="10">
        <v>16</v>
      </c>
      <c r="N17" s="10">
        <v>22</v>
      </c>
      <c r="O17" s="10">
        <v>41</v>
      </c>
      <c r="P17" s="10">
        <v>37</v>
      </c>
      <c r="Q17" s="10">
        <v>4</v>
      </c>
      <c r="R17" s="10">
        <v>26.5</v>
      </c>
      <c r="S17" s="10">
        <f t="shared" si="0"/>
        <v>170</v>
      </c>
      <c r="T17" s="10">
        <v>2</v>
      </c>
      <c r="U17" s="10">
        <v>4</v>
      </c>
      <c r="V17" s="10">
        <v>1</v>
      </c>
      <c r="W17" s="10">
        <v>2</v>
      </c>
      <c r="X17" s="10">
        <v>3</v>
      </c>
      <c r="Y17" s="10">
        <v>2</v>
      </c>
      <c r="Z17" s="10">
        <v>1</v>
      </c>
      <c r="AA17" s="12" t="s">
        <v>52</v>
      </c>
      <c r="AB17" s="10">
        <v>7</v>
      </c>
      <c r="AC17" s="10">
        <v>7</v>
      </c>
      <c r="AD17" s="10">
        <v>6</v>
      </c>
      <c r="AE17" s="10">
        <v>7</v>
      </c>
      <c r="AF17" s="10">
        <v>7</v>
      </c>
      <c r="AG17" s="11" t="s">
        <v>75</v>
      </c>
      <c r="AH17" s="13" t="s">
        <v>86</v>
      </c>
    </row>
    <row r="18" spans="1:36" x14ac:dyDescent="0.3">
      <c r="A18" s="9" t="s">
        <v>13</v>
      </c>
      <c r="B18" s="10">
        <v>28</v>
      </c>
      <c r="C18" s="10" t="s">
        <v>88</v>
      </c>
      <c r="D18" s="10">
        <v>77</v>
      </c>
      <c r="E18" s="11" t="s">
        <v>29</v>
      </c>
      <c r="F18" s="11" t="s">
        <v>29</v>
      </c>
      <c r="G18" s="10">
        <v>18</v>
      </c>
      <c r="H18" s="10">
        <v>15</v>
      </c>
      <c r="I18" s="10">
        <v>44</v>
      </c>
      <c r="J18" s="10">
        <v>62</v>
      </c>
      <c r="K18" s="10">
        <v>29</v>
      </c>
      <c r="L18" s="10">
        <v>29</v>
      </c>
      <c r="M18" s="10">
        <v>18</v>
      </c>
      <c r="N18" s="10">
        <v>23</v>
      </c>
      <c r="O18" s="10">
        <v>41</v>
      </c>
      <c r="P18" s="10">
        <v>39</v>
      </c>
      <c r="Q18" s="10">
        <v>5</v>
      </c>
      <c r="R18" s="10">
        <v>28.5</v>
      </c>
      <c r="S18" s="10">
        <f t="shared" si="0"/>
        <v>180</v>
      </c>
      <c r="T18" s="10">
        <v>0.25</v>
      </c>
      <c r="U18" s="10">
        <v>2</v>
      </c>
      <c r="V18" s="10">
        <v>1</v>
      </c>
      <c r="W18" s="10">
        <v>1</v>
      </c>
      <c r="X18" s="10">
        <v>4</v>
      </c>
      <c r="Y18" s="10">
        <v>1</v>
      </c>
      <c r="Z18" s="10">
        <v>1</v>
      </c>
      <c r="AA18" s="12" t="s">
        <v>53</v>
      </c>
      <c r="AB18" s="10">
        <v>7</v>
      </c>
      <c r="AC18" s="10">
        <v>7</v>
      </c>
      <c r="AD18" s="10">
        <v>5</v>
      </c>
      <c r="AE18" s="10">
        <v>7</v>
      </c>
      <c r="AF18" s="10">
        <v>5</v>
      </c>
      <c r="AG18" s="11" t="s">
        <v>76</v>
      </c>
      <c r="AH18" s="13" t="s">
        <v>86</v>
      </c>
    </row>
    <row r="19" spans="1:36" x14ac:dyDescent="0.3">
      <c r="A19" s="9" t="s">
        <v>14</v>
      </c>
      <c r="B19" s="7">
        <v>24</v>
      </c>
      <c r="C19" s="16" t="s">
        <v>87</v>
      </c>
      <c r="D19" s="7">
        <v>48</v>
      </c>
      <c r="E19" s="11" t="s">
        <v>29</v>
      </c>
      <c r="F19" s="11" t="s">
        <v>29</v>
      </c>
      <c r="G19" s="7">
        <v>15</v>
      </c>
      <c r="H19" s="7">
        <v>12</v>
      </c>
      <c r="I19" s="7">
        <v>37</v>
      </c>
      <c r="J19" s="7">
        <v>57</v>
      </c>
      <c r="K19" s="7">
        <v>24</v>
      </c>
      <c r="L19" s="7">
        <v>23</v>
      </c>
      <c r="M19" s="7">
        <v>16</v>
      </c>
      <c r="N19" s="7">
        <v>21</v>
      </c>
      <c r="O19" s="7">
        <v>40</v>
      </c>
      <c r="P19" s="7">
        <v>33</v>
      </c>
      <c r="Q19" s="7">
        <v>4</v>
      </c>
      <c r="R19" s="7">
        <v>24</v>
      </c>
      <c r="S19" s="10">
        <f t="shared" si="0"/>
        <v>161</v>
      </c>
      <c r="T19" s="7">
        <v>0</v>
      </c>
      <c r="U19" s="7">
        <v>2</v>
      </c>
      <c r="V19" s="7">
        <v>2</v>
      </c>
      <c r="W19" s="7">
        <v>1</v>
      </c>
      <c r="X19" s="7">
        <v>5</v>
      </c>
      <c r="Y19" s="7">
        <v>1</v>
      </c>
      <c r="Z19" s="7">
        <v>4</v>
      </c>
      <c r="AA19" s="15" t="s">
        <v>54</v>
      </c>
      <c r="AB19" s="7">
        <v>7</v>
      </c>
      <c r="AC19" s="7">
        <v>7</v>
      </c>
      <c r="AD19" s="7">
        <v>3</v>
      </c>
      <c r="AE19" s="7">
        <v>6</v>
      </c>
      <c r="AF19" s="7">
        <v>5</v>
      </c>
      <c r="AG19" s="16" t="s">
        <v>77</v>
      </c>
      <c r="AH19" s="13" t="s">
        <v>86</v>
      </c>
    </row>
    <row r="20" spans="1:36" x14ac:dyDescent="0.3">
      <c r="A20" s="9" t="s">
        <v>15</v>
      </c>
      <c r="B20" s="7">
        <v>31</v>
      </c>
      <c r="C20" s="7" t="s">
        <v>88</v>
      </c>
      <c r="D20" s="7">
        <v>80</v>
      </c>
      <c r="E20" s="11" t="s">
        <v>29</v>
      </c>
      <c r="F20" s="11" t="s">
        <v>29</v>
      </c>
      <c r="G20" s="7">
        <v>18</v>
      </c>
      <c r="H20" s="7">
        <v>13</v>
      </c>
      <c r="I20" s="7">
        <v>45</v>
      </c>
      <c r="J20" s="7">
        <v>66</v>
      </c>
      <c r="K20" s="7">
        <v>27</v>
      </c>
      <c r="L20" s="7">
        <v>23</v>
      </c>
      <c r="M20" s="7">
        <v>16</v>
      </c>
      <c r="N20" s="7">
        <v>22</v>
      </c>
      <c r="O20" s="7">
        <v>42</v>
      </c>
      <c r="P20" s="7">
        <v>38</v>
      </c>
      <c r="Q20" s="7">
        <v>5</v>
      </c>
      <c r="R20" s="7">
        <v>26.5</v>
      </c>
      <c r="S20" s="10">
        <f t="shared" si="0"/>
        <v>182</v>
      </c>
      <c r="T20" s="7">
        <v>2</v>
      </c>
      <c r="U20" s="7">
        <v>3</v>
      </c>
      <c r="V20" s="7">
        <v>2</v>
      </c>
      <c r="W20" s="7">
        <v>1</v>
      </c>
      <c r="X20" s="7">
        <v>4</v>
      </c>
      <c r="Y20" s="7">
        <v>1</v>
      </c>
      <c r="Z20" s="7">
        <v>1</v>
      </c>
      <c r="AA20" s="15" t="s">
        <v>55</v>
      </c>
      <c r="AB20" s="7">
        <v>7</v>
      </c>
      <c r="AC20" s="7">
        <v>7</v>
      </c>
      <c r="AD20" s="7">
        <v>7</v>
      </c>
      <c r="AE20" s="7">
        <v>7</v>
      </c>
      <c r="AF20" s="7">
        <v>7</v>
      </c>
      <c r="AG20" s="16" t="s">
        <v>78</v>
      </c>
      <c r="AH20" s="13" t="s">
        <v>86</v>
      </c>
    </row>
    <row r="21" spans="1:36" x14ac:dyDescent="0.3">
      <c r="A21" s="9" t="s">
        <v>16</v>
      </c>
      <c r="B21" s="7">
        <v>28</v>
      </c>
      <c r="C21" s="7" t="s">
        <v>88</v>
      </c>
      <c r="D21" s="7">
        <v>82</v>
      </c>
      <c r="E21" s="11" t="s">
        <v>29</v>
      </c>
      <c r="F21" s="11" t="s">
        <v>29</v>
      </c>
      <c r="G21" s="7">
        <v>18</v>
      </c>
      <c r="H21" s="7">
        <v>13</v>
      </c>
      <c r="I21" s="7">
        <v>42</v>
      </c>
      <c r="J21" s="7">
        <v>61</v>
      </c>
      <c r="K21" s="7">
        <v>28</v>
      </c>
      <c r="L21" s="7">
        <v>25</v>
      </c>
      <c r="M21" s="7">
        <v>17</v>
      </c>
      <c r="N21" s="7">
        <v>23</v>
      </c>
      <c r="O21" s="7">
        <v>42</v>
      </c>
      <c r="P21" s="7">
        <v>41</v>
      </c>
      <c r="Q21" s="7">
        <v>5</v>
      </c>
      <c r="R21" s="7">
        <v>27</v>
      </c>
      <c r="S21" s="10">
        <f t="shared" si="0"/>
        <v>180</v>
      </c>
      <c r="T21" s="7">
        <v>19</v>
      </c>
      <c r="U21" s="7">
        <v>7</v>
      </c>
      <c r="V21" s="7">
        <v>4</v>
      </c>
      <c r="W21" s="7">
        <v>2</v>
      </c>
      <c r="X21" s="7">
        <v>3</v>
      </c>
      <c r="Y21" s="7">
        <v>5</v>
      </c>
      <c r="Z21" s="7">
        <v>1</v>
      </c>
      <c r="AA21" s="15" t="s">
        <v>56</v>
      </c>
      <c r="AB21" s="7">
        <v>5</v>
      </c>
      <c r="AC21" s="7">
        <v>7</v>
      </c>
      <c r="AD21" s="7">
        <v>5</v>
      </c>
      <c r="AE21" s="7">
        <v>3</v>
      </c>
      <c r="AF21" s="7">
        <v>7</v>
      </c>
      <c r="AG21" s="16" t="s">
        <v>79</v>
      </c>
      <c r="AH21" s="13" t="s">
        <v>86</v>
      </c>
      <c r="AI21" s="1"/>
      <c r="AJ21" s="4"/>
    </row>
    <row r="22" spans="1:36" x14ac:dyDescent="0.3">
      <c r="A22" s="9" t="s">
        <v>17</v>
      </c>
      <c r="B22" s="7">
        <v>25</v>
      </c>
      <c r="C22" s="7" t="s">
        <v>88</v>
      </c>
      <c r="D22" s="7">
        <v>108</v>
      </c>
      <c r="E22" s="11" t="s">
        <v>29</v>
      </c>
      <c r="F22" s="11" t="s">
        <v>29</v>
      </c>
      <c r="G22" s="7">
        <v>17</v>
      </c>
      <c r="H22" s="7">
        <v>11</v>
      </c>
      <c r="I22" s="7">
        <v>48</v>
      </c>
      <c r="J22" s="7">
        <v>58</v>
      </c>
      <c r="K22" s="7">
        <v>28</v>
      </c>
      <c r="L22" s="7">
        <v>24</v>
      </c>
      <c r="M22" s="7">
        <v>17</v>
      </c>
      <c r="N22" s="7">
        <v>23</v>
      </c>
      <c r="O22" s="7">
        <v>39</v>
      </c>
      <c r="P22" s="7">
        <v>37</v>
      </c>
      <c r="Q22" s="7">
        <v>4</v>
      </c>
      <c r="R22" s="7">
        <v>27.5</v>
      </c>
      <c r="S22" s="10">
        <f t="shared" si="0"/>
        <v>166</v>
      </c>
      <c r="T22" s="7">
        <v>14</v>
      </c>
      <c r="U22" s="7">
        <v>7</v>
      </c>
      <c r="V22" s="7">
        <v>1</v>
      </c>
      <c r="W22" s="7">
        <v>1</v>
      </c>
      <c r="X22" s="7">
        <v>5</v>
      </c>
      <c r="Y22" s="7">
        <v>1</v>
      </c>
      <c r="Z22" s="7">
        <v>1</v>
      </c>
      <c r="AA22" s="15" t="s">
        <v>57</v>
      </c>
      <c r="AB22" s="7">
        <v>7</v>
      </c>
      <c r="AC22" s="7">
        <v>7</v>
      </c>
      <c r="AD22" s="7">
        <v>2</v>
      </c>
      <c r="AE22" s="7">
        <v>7</v>
      </c>
      <c r="AF22" s="7">
        <v>7</v>
      </c>
      <c r="AG22" s="16" t="s">
        <v>80</v>
      </c>
      <c r="AH22" s="13" t="s">
        <v>86</v>
      </c>
      <c r="AI22" s="1"/>
      <c r="AJ22" s="6"/>
    </row>
    <row r="23" spans="1:36" x14ac:dyDescent="0.3">
      <c r="A23" s="9" t="s">
        <v>18</v>
      </c>
      <c r="B23" s="10">
        <v>24</v>
      </c>
      <c r="C23" s="7" t="s">
        <v>88</v>
      </c>
      <c r="D23" s="10">
        <v>75</v>
      </c>
      <c r="E23" s="11" t="s">
        <v>29</v>
      </c>
      <c r="F23" s="11" t="s">
        <v>29</v>
      </c>
      <c r="G23" s="10">
        <v>17</v>
      </c>
      <c r="H23" s="10">
        <v>13</v>
      </c>
      <c r="I23" s="10">
        <v>43</v>
      </c>
      <c r="J23" s="10">
        <v>61</v>
      </c>
      <c r="K23" s="10">
        <v>30</v>
      </c>
      <c r="L23" s="10">
        <v>26</v>
      </c>
      <c r="M23" s="10">
        <v>17</v>
      </c>
      <c r="N23" s="10">
        <v>22</v>
      </c>
      <c r="O23" s="10">
        <v>43</v>
      </c>
      <c r="P23" s="10">
        <v>39</v>
      </c>
      <c r="Q23" s="10">
        <v>5</v>
      </c>
      <c r="R23" s="10">
        <v>27</v>
      </c>
      <c r="S23" s="10">
        <f t="shared" si="0"/>
        <v>178</v>
      </c>
      <c r="T23" s="10">
        <v>1</v>
      </c>
      <c r="U23" s="10">
        <v>3</v>
      </c>
      <c r="V23" s="10">
        <v>2</v>
      </c>
      <c r="W23" s="10">
        <v>2</v>
      </c>
      <c r="X23" s="10">
        <v>2</v>
      </c>
      <c r="Y23" s="10">
        <v>1</v>
      </c>
      <c r="Z23" s="10">
        <v>2</v>
      </c>
      <c r="AA23" s="12" t="s">
        <v>58</v>
      </c>
      <c r="AB23" s="10">
        <v>6</v>
      </c>
      <c r="AC23" s="10">
        <v>6</v>
      </c>
      <c r="AD23" s="10">
        <v>5</v>
      </c>
      <c r="AE23" s="10">
        <v>6</v>
      </c>
      <c r="AF23" s="10">
        <v>6</v>
      </c>
      <c r="AG23" s="11" t="s">
        <v>81</v>
      </c>
      <c r="AH23" s="13" t="s">
        <v>86</v>
      </c>
    </row>
    <row r="24" spans="1:36" x14ac:dyDescent="0.3">
      <c r="A24" s="9" t="s">
        <v>19</v>
      </c>
      <c r="B24" s="10">
        <v>29</v>
      </c>
      <c r="C24" s="7" t="s">
        <v>88</v>
      </c>
      <c r="D24" s="10">
        <v>73</v>
      </c>
      <c r="E24" s="11" t="s">
        <v>29</v>
      </c>
      <c r="F24" s="11" t="s">
        <v>29</v>
      </c>
      <c r="G24" s="10">
        <v>18</v>
      </c>
      <c r="H24" s="10">
        <v>12</v>
      </c>
      <c r="I24" s="10">
        <v>42</v>
      </c>
      <c r="J24" s="10">
        <v>62</v>
      </c>
      <c r="K24" s="10">
        <v>28</v>
      </c>
      <c r="L24" s="10">
        <v>25</v>
      </c>
      <c r="M24" s="10">
        <v>18</v>
      </c>
      <c r="N24" s="10">
        <v>21</v>
      </c>
      <c r="O24" s="10">
        <v>43</v>
      </c>
      <c r="P24" s="10">
        <v>40</v>
      </c>
      <c r="Q24" s="10">
        <v>4</v>
      </c>
      <c r="R24" s="10">
        <v>27</v>
      </c>
      <c r="S24" s="10">
        <f t="shared" si="0"/>
        <v>179</v>
      </c>
      <c r="T24" s="10">
        <v>2</v>
      </c>
      <c r="U24" s="10">
        <v>4</v>
      </c>
      <c r="V24" s="10">
        <v>5</v>
      </c>
      <c r="W24" s="10">
        <v>2</v>
      </c>
      <c r="X24" s="10">
        <v>4</v>
      </c>
      <c r="Y24" s="10">
        <v>6</v>
      </c>
      <c r="Z24" s="10">
        <v>3</v>
      </c>
      <c r="AA24" s="12" t="s">
        <v>59</v>
      </c>
      <c r="AB24" s="10">
        <v>7</v>
      </c>
      <c r="AC24" s="10">
        <v>7</v>
      </c>
      <c r="AD24" s="10">
        <v>5</v>
      </c>
      <c r="AE24" s="10">
        <v>4</v>
      </c>
      <c r="AF24" s="10">
        <v>5</v>
      </c>
      <c r="AG24" s="11" t="s">
        <v>82</v>
      </c>
      <c r="AH24" s="13" t="s">
        <v>86</v>
      </c>
    </row>
    <row r="25" spans="1:36" x14ac:dyDescent="0.3">
      <c r="A25" s="9" t="s">
        <v>20</v>
      </c>
      <c r="B25" s="10">
        <v>32</v>
      </c>
      <c r="C25" s="10" t="s">
        <v>88</v>
      </c>
      <c r="D25" s="10">
        <v>90</v>
      </c>
      <c r="E25" s="11" t="s">
        <v>29</v>
      </c>
      <c r="F25" s="11" t="s">
        <v>29</v>
      </c>
      <c r="G25" s="10">
        <v>18</v>
      </c>
      <c r="H25" s="10">
        <v>11</v>
      </c>
      <c r="I25" s="10">
        <v>45</v>
      </c>
      <c r="J25" s="10">
        <v>55</v>
      </c>
      <c r="K25" s="10">
        <v>30</v>
      </c>
      <c r="L25" s="10">
        <v>24</v>
      </c>
      <c r="M25" s="10">
        <v>18</v>
      </c>
      <c r="N25" s="10">
        <v>24</v>
      </c>
      <c r="O25" s="10">
        <v>42</v>
      </c>
      <c r="P25" s="10">
        <v>45</v>
      </c>
      <c r="Q25" s="10">
        <v>5</v>
      </c>
      <c r="R25" s="10">
        <v>26.5</v>
      </c>
      <c r="S25" s="10">
        <f t="shared" si="0"/>
        <v>176</v>
      </c>
      <c r="T25" s="10">
        <v>0</v>
      </c>
      <c r="U25" s="10">
        <v>2</v>
      </c>
      <c r="V25" s="10">
        <v>2</v>
      </c>
      <c r="W25" s="10">
        <v>1</v>
      </c>
      <c r="X25" s="10">
        <v>5</v>
      </c>
      <c r="Y25" s="10">
        <v>4</v>
      </c>
      <c r="Z25" s="10">
        <v>1</v>
      </c>
      <c r="AA25" s="12" t="s">
        <v>60</v>
      </c>
      <c r="AB25" s="10">
        <v>6</v>
      </c>
      <c r="AC25" s="10">
        <v>6</v>
      </c>
      <c r="AD25" s="10">
        <v>4</v>
      </c>
      <c r="AE25" s="10">
        <v>4</v>
      </c>
      <c r="AF25" s="10">
        <v>7</v>
      </c>
      <c r="AG25" s="17" t="s">
        <v>83</v>
      </c>
      <c r="AH25" s="13" t="s">
        <v>86</v>
      </c>
    </row>
    <row r="26" spans="1:36" ht="16.5" customHeight="1" thickBot="1" x14ac:dyDescent="0.35">
      <c r="A26" s="18" t="s">
        <v>21</v>
      </c>
      <c r="B26" s="19">
        <v>28</v>
      </c>
      <c r="C26" s="28" t="s">
        <v>88</v>
      </c>
      <c r="D26" s="19">
        <v>92</v>
      </c>
      <c r="E26" s="20" t="s">
        <v>29</v>
      </c>
      <c r="F26" s="20" t="s">
        <v>29</v>
      </c>
      <c r="G26" s="19">
        <v>17</v>
      </c>
      <c r="H26" s="19">
        <v>11</v>
      </c>
      <c r="I26" s="19">
        <v>44</v>
      </c>
      <c r="J26" s="19">
        <v>61</v>
      </c>
      <c r="K26" s="19">
        <v>28</v>
      </c>
      <c r="L26" s="19">
        <v>24</v>
      </c>
      <c r="M26" s="19">
        <v>18</v>
      </c>
      <c r="N26" s="19">
        <v>22</v>
      </c>
      <c r="O26" s="19">
        <v>45</v>
      </c>
      <c r="P26" s="19">
        <v>41</v>
      </c>
      <c r="Q26" s="19">
        <v>5</v>
      </c>
      <c r="R26" s="19">
        <v>27.5</v>
      </c>
      <c r="S26" s="21">
        <f t="shared" si="0"/>
        <v>180</v>
      </c>
      <c r="T26" s="22">
        <v>22</v>
      </c>
      <c r="U26" s="19">
        <v>7</v>
      </c>
      <c r="V26" s="19">
        <v>1</v>
      </c>
      <c r="W26" s="19">
        <v>1</v>
      </c>
      <c r="X26" s="19">
        <v>3</v>
      </c>
      <c r="Y26" s="19">
        <v>2</v>
      </c>
      <c r="Z26" s="19">
        <v>5</v>
      </c>
      <c r="AA26" s="23" t="s">
        <v>61</v>
      </c>
      <c r="AB26" s="19">
        <v>7</v>
      </c>
      <c r="AC26" s="19">
        <v>7</v>
      </c>
      <c r="AD26" s="19">
        <v>7</v>
      </c>
      <c r="AE26" s="19">
        <v>7</v>
      </c>
      <c r="AF26" s="19">
        <v>7</v>
      </c>
      <c r="AG26" s="19" t="s">
        <v>84</v>
      </c>
      <c r="AH26" s="24" t="s">
        <v>86</v>
      </c>
    </row>
    <row r="27" spans="1:36" x14ac:dyDescent="0.3">
      <c r="A27" s="2"/>
    </row>
    <row r="29" spans="1:36" ht="16.5" customHeight="1" x14ac:dyDescent="0.3">
      <c r="A29" s="7"/>
      <c r="B29" s="7"/>
    </row>
    <row r="30" spans="1:36" ht="16.5" customHeight="1" x14ac:dyDescent="0.3">
      <c r="A30" s="7"/>
      <c r="B30" s="7"/>
    </row>
    <row r="31" spans="1:36" ht="16.5" customHeight="1" x14ac:dyDescent="0.3">
      <c r="A31" s="7"/>
      <c r="AI31" s="3"/>
      <c r="AJ31" s="4"/>
    </row>
    <row r="32" spans="1:36" ht="16.5" customHeight="1" x14ac:dyDescent="0.3">
      <c r="A32" s="7"/>
      <c r="AI32" s="5"/>
      <c r="AJ32" s="6"/>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Survey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HCIS</cp:lastModifiedBy>
  <cp:revision/>
  <dcterms:created xsi:type="dcterms:W3CDTF">2023-01-25T13:57:49Z</dcterms:created>
  <dcterms:modified xsi:type="dcterms:W3CDTF">2023-06-16T05:49:04Z</dcterms:modified>
  <cp:category/>
  <cp:contentStatus/>
</cp:coreProperties>
</file>